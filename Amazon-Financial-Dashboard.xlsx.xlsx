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k3\Downloads\"/>
    </mc:Choice>
  </mc:AlternateContent>
  <xr:revisionPtr revIDLastSave="0" documentId="13_ncr:1_{11D7BFBA-99F8-4040-8505-09B942261F93}" xr6:coauthVersionLast="47" xr6:coauthVersionMax="47" xr10:uidLastSave="{00000000-0000-0000-0000-000000000000}"/>
  <bookViews>
    <workbookView xWindow="-110" yWindow="-110" windowWidth="19420" windowHeight="10420" activeTab="1" xr2:uid="{38B8E979-D836-418D-AA98-7BEA9A3B7EB6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M4" i="1"/>
  <c r="M5" i="1"/>
  <c r="M6" i="1"/>
  <c r="M7" i="1"/>
  <c r="M8" i="1"/>
  <c r="M9" i="1"/>
  <c r="M10" i="1"/>
  <c r="M11" i="1"/>
  <c r="M3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<sst xmlns="http://schemas.openxmlformats.org/spreadsheetml/2006/main" count="16" uniqueCount="16">
  <si>
    <t>Year</t>
  </si>
  <si>
    <t>Revenue ($B)</t>
  </si>
  <si>
    <t>Net Income ($B)</t>
  </si>
  <si>
    <t>Total Assets ($B)</t>
  </si>
  <si>
    <t>Total Liabilities ($B)</t>
  </si>
  <si>
    <t>Current Assets ($B)</t>
  </si>
  <si>
    <t>Current Liabilities ($B)</t>
  </si>
  <si>
    <t>Shareholder Equity ($B)</t>
  </si>
  <si>
    <t>ROA</t>
  </si>
  <si>
    <t>Current Ratio</t>
  </si>
  <si>
    <t>Debt to Equity</t>
  </si>
  <si>
    <t>Asset Turnover</t>
  </si>
  <si>
    <t xml:space="preserve">Revenue Growth </t>
  </si>
  <si>
    <t>NA</t>
  </si>
  <si>
    <t>AMAZON FINANCIAL DASHBOARD (2015–2024)</t>
  </si>
  <si>
    <t>• Revenue shows consistent growth (2015–2024)
• Net income dropped in 2022 due to cost pressures
• Strong recovery observed in 2023–2024
• ROA peaked in 2021 (~8%), indicating high efficiency
• Stable liquidity with current ratio around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</si>
</sst>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0" fontId="4" fillId="2" borderId="0" xfId="0" applyFont="1" applyFill="1"/>
    <xf numFmtId="0" fontId="0" fillId="2" borderId="0" xfId="0" applyFill="1"/>
    <xf numFmtId="10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15">
    <dxf>
      <numFmt numFmtId="14" formatCode="0.00%"/>
      <alignment horizontal="center" vertical="bottom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Revenue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 ($B)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Data!$B$2:$B$11</c:f>
              <c:numCache>
                <c:formatCode>General</c:formatCode>
                <c:ptCount val="10"/>
                <c:pt idx="0">
                  <c:v>107</c:v>
                </c:pt>
                <c:pt idx="1">
                  <c:v>136</c:v>
                </c:pt>
                <c:pt idx="2">
                  <c:v>178</c:v>
                </c:pt>
                <c:pt idx="3">
                  <c:v>233</c:v>
                </c:pt>
                <c:pt idx="4">
                  <c:v>280</c:v>
                </c:pt>
                <c:pt idx="5">
                  <c:v>386</c:v>
                </c:pt>
                <c:pt idx="6">
                  <c:v>469</c:v>
                </c:pt>
                <c:pt idx="7">
                  <c:v>514</c:v>
                </c:pt>
                <c:pt idx="8">
                  <c:v>575</c:v>
                </c:pt>
                <c:pt idx="9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6-4040-967D-5371DC4EE7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37638143"/>
        <c:axId val="437625183"/>
      </c:lineChart>
      <c:catAx>
        <c:axId val="43763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25183"/>
        <c:crosses val="autoZero"/>
        <c:auto val="1"/>
        <c:lblAlgn val="ctr"/>
        <c:lblOffset val="100"/>
        <c:noMultiLvlLbl val="0"/>
      </c:catAx>
      <c:valAx>
        <c:axId val="43762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3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>
                <a:solidFill>
                  <a:schemeClr val="bg1"/>
                </a:solidFill>
              </a:rPr>
              <a:t>Net Income Trend</a:t>
            </a:r>
          </a:p>
        </c:rich>
      </c:tx>
      <c:overlay val="0"/>
      <c:spPr>
        <a:solidFill>
          <a:schemeClr val="accent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Data!$C$2</c:f>
              <c:numCache>
                <c:formatCode>General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F-415B-BE4B-F4D89A89D8AF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Data!$C$3</c:f>
              <c:numCache>
                <c:formatCode>General</c:formatCode>
                <c:ptCount val="1"/>
                <c:pt idx="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F-415B-BE4B-F4D89A89D8AF}"/>
            </c:ext>
          </c:extLst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FF-415B-BE4B-F4D89A89D8AF}"/>
            </c:ext>
          </c:extLst>
        </c:ser>
        <c:ser>
          <c:idx val="3"/>
          <c:order val="3"/>
          <c:tx>
            <c:strRef>
              <c:f>Data!$A$5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Data!$C$5</c:f>
              <c:numCache>
                <c:formatCode>General</c:formatCode>
                <c:ptCount val="1"/>
                <c:pt idx="0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FF-415B-BE4B-F4D89A89D8AF}"/>
            </c:ext>
          </c:extLst>
        </c:ser>
        <c:ser>
          <c:idx val="4"/>
          <c:order val="4"/>
          <c:tx>
            <c:strRef>
              <c:f>Data!$A$6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Data!$C$6</c:f>
              <c:numCache>
                <c:formatCode>General</c:formatCode>
                <c:ptCount val="1"/>
                <c:pt idx="0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FF-415B-BE4B-F4D89A89D8AF}"/>
            </c:ext>
          </c:extLst>
        </c:ser>
        <c:ser>
          <c:idx val="5"/>
          <c:order val="5"/>
          <c:tx>
            <c:strRef>
              <c:f>Data!$A$7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Data!$C$7</c:f>
              <c:numCache>
                <c:formatCode>General</c:formatCode>
                <c:ptCount val="1"/>
                <c:pt idx="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FF-415B-BE4B-F4D89A89D8AF}"/>
            </c:ext>
          </c:extLst>
        </c:ser>
        <c:ser>
          <c:idx val="6"/>
          <c:order val="6"/>
          <c:tx>
            <c:strRef>
              <c:f>Data!$A$8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Data!$C$8</c:f>
              <c:numCache>
                <c:formatCode>General</c:formatCode>
                <c:ptCount val="1"/>
                <c:pt idx="0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FF-415B-BE4B-F4D89A89D8AF}"/>
            </c:ext>
          </c:extLst>
        </c:ser>
        <c:ser>
          <c:idx val="7"/>
          <c:order val="7"/>
          <c:tx>
            <c:strRef>
              <c:f>Data!$A$9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Data!$C$9</c:f>
              <c:numCache>
                <c:formatCode>General</c:formatCode>
                <c:ptCount val="1"/>
                <c:pt idx="0">
                  <c:v>-2.7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FF-415B-BE4B-F4D89A89D8AF}"/>
            </c:ext>
          </c:extLst>
        </c:ser>
        <c:ser>
          <c:idx val="8"/>
          <c:order val="8"/>
          <c:tx>
            <c:strRef>
              <c:f>Data!$A$10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Data!$C$10</c:f>
              <c:numCache>
                <c:formatCode>General</c:formatCode>
                <c:ptCount val="1"/>
                <c:pt idx="0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FF-415B-BE4B-F4D89A89D8AF}"/>
            </c:ext>
          </c:extLst>
        </c:ser>
        <c:ser>
          <c:idx val="9"/>
          <c:order val="9"/>
          <c:tx>
            <c:strRef>
              <c:f>Data!$A$11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Data!$C$1</c:f>
              <c:strCache>
                <c:ptCount val="1"/>
                <c:pt idx="0">
                  <c:v>Net Income ($B)</c:v>
                </c:pt>
              </c:strCache>
            </c:strRef>
          </c:cat>
          <c:val>
            <c:numRef>
              <c:f>Data!$C$11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FF-415B-BE4B-F4D89A89D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37631423"/>
        <c:axId val="437626143"/>
      </c:barChart>
      <c:catAx>
        <c:axId val="43763142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7626143"/>
        <c:crosses val="autoZero"/>
        <c:auto val="1"/>
        <c:lblAlgn val="ctr"/>
        <c:lblOffset val="100"/>
        <c:noMultiLvlLbl val="0"/>
      </c:catAx>
      <c:valAx>
        <c:axId val="437626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763142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bg1"/>
                </a:solidFill>
              </a:rPr>
              <a:t>Financial Ratios Analysis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Data!$I$1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4"/>
              </a:glow>
              <a:outerShdw blurRad="76200" dist="393700" dir="8400000" sx="196000" sy="196000" algn="ctr" rotWithShape="0">
                <a:schemeClr val="accent3">
                  <a:alpha val="95000"/>
                </a:schemeClr>
              </a:outerShdw>
            </a:effectLst>
          </c:spPr>
          <c:invertIfNegative val="0"/>
          <c:val>
            <c:numRef>
              <c:f>Data!$I$2:$I$11</c:f>
              <c:numCache>
                <c:formatCode>0.00%</c:formatCode>
                <c:ptCount val="10"/>
                <c:pt idx="0">
                  <c:v>9.2307692307692299E-3</c:v>
                </c:pt>
                <c:pt idx="1">
                  <c:v>2.8915662650602407E-2</c:v>
                </c:pt>
                <c:pt idx="2">
                  <c:v>2.2900763358778626E-2</c:v>
                </c:pt>
                <c:pt idx="3">
                  <c:v>6.2345679012345674E-2</c:v>
                </c:pt>
                <c:pt idx="4">
                  <c:v>5.1555555555555556E-2</c:v>
                </c:pt>
                <c:pt idx="5">
                  <c:v>6.6355140186915892E-2</c:v>
                </c:pt>
                <c:pt idx="6">
                  <c:v>7.9523809523809524E-2</c:v>
                </c:pt>
                <c:pt idx="7">
                  <c:v>-5.8441558441558444E-3</c:v>
                </c:pt>
                <c:pt idx="8">
                  <c:v>5.7685009487666035E-2</c:v>
                </c:pt>
                <c:pt idx="9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C-49C2-B228-5D71741D2BE0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Data!$J$2:$J$11</c:f>
              <c:numCache>
                <c:formatCode>0.00</c:formatCode>
                <c:ptCount val="10"/>
                <c:pt idx="0">
                  <c:v>1.1515151515151516</c:v>
                </c:pt>
                <c:pt idx="1">
                  <c:v>1.0465116279069768</c:v>
                </c:pt>
                <c:pt idx="2">
                  <c:v>1.0526315789473684</c:v>
                </c:pt>
                <c:pt idx="3">
                  <c:v>1.1029411764705883</c:v>
                </c:pt>
                <c:pt idx="4">
                  <c:v>1.103448275862069</c:v>
                </c:pt>
                <c:pt idx="5">
                  <c:v>1.0476190476190477</c:v>
                </c:pt>
                <c:pt idx="6">
                  <c:v>1.1338028169014085</c:v>
                </c:pt>
                <c:pt idx="7">
                  <c:v>0.9419354838709677</c:v>
                </c:pt>
                <c:pt idx="8">
                  <c:v>1.0487804878048781</c:v>
                </c:pt>
                <c:pt idx="9">
                  <c:v>1.0571428571428572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C-49C2-B228-5D71741D2BE0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Data!$K$2:$K$11</c:f>
              <c:numCache>
                <c:formatCode>0.000</c:formatCode>
                <c:ptCount val="10"/>
                <c:pt idx="0" formatCode="General">
                  <c:v>4</c:v>
                </c:pt>
                <c:pt idx="1">
                  <c:v>4.9285714285714288</c:v>
                </c:pt>
                <c:pt idx="2">
                  <c:v>3.6785714285714284</c:v>
                </c:pt>
                <c:pt idx="3">
                  <c:v>2.7674418604651163</c:v>
                </c:pt>
                <c:pt idx="4">
                  <c:v>2.629032258064516</c:v>
                </c:pt>
                <c:pt idx="5">
                  <c:v>2.4148936170212765</c:v>
                </c:pt>
                <c:pt idx="6">
                  <c:v>2.0434782608695654</c:v>
                </c:pt>
                <c:pt idx="7">
                  <c:v>2.1643835616438358</c:v>
                </c:pt>
                <c:pt idx="8">
                  <c:v>2.0818713450292399</c:v>
                </c:pt>
                <c:pt idx="9">
                  <c:v>2.1111111111111112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0C-49C2-B228-5D71741D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667903"/>
        <c:axId val="437654463"/>
      </c:barChart>
      <c:catAx>
        <c:axId val="437667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7654463"/>
        <c:crosses val="autoZero"/>
        <c:auto val="1"/>
        <c:lblAlgn val="ctr"/>
        <c:lblOffset val="100"/>
        <c:noMultiLvlLbl val="0"/>
      </c:catAx>
      <c:valAx>
        <c:axId val="4376544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6790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2</xdr:row>
      <xdr:rowOff>25400</xdr:rowOff>
    </xdr:from>
    <xdr:to>
      <xdr:col>3</xdr:col>
      <xdr:colOff>165100</xdr:colOff>
      <xdr:row>7</xdr:row>
      <xdr:rowOff>165100</xdr:rowOff>
    </xdr:to>
    <xdr:sp macro="" textlink="Data!B11">
      <xdr:nvSpPr>
        <xdr:cNvPr id="5" name="Rectangle: Rounded Corners 4">
          <a:extLst>
            <a:ext uri="{FF2B5EF4-FFF2-40B4-BE49-F238E27FC236}">
              <a16:creationId xmlns:a16="http://schemas.microsoft.com/office/drawing/2014/main" id="{0E0CCB1B-D560-4756-A102-F265C1BCA0BA}"/>
            </a:ext>
          </a:extLst>
        </xdr:cNvPr>
        <xdr:cNvSpPr/>
      </xdr:nvSpPr>
      <xdr:spPr>
        <a:xfrm>
          <a:off x="158750" y="209550"/>
          <a:ext cx="1835150" cy="1060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Revenue   </a:t>
          </a:r>
        </a:p>
        <a:p>
          <a:pPr algn="ctr"/>
          <a:fld id="{02718B2C-138B-4EC2-8963-FB96C1C88D9E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620</a:t>
          </a:fld>
          <a:endParaRPr lang="en-US" sz="1600" b="1"/>
        </a:p>
      </xdr:txBody>
    </xdr:sp>
    <xdr:clientData/>
  </xdr:twoCellAnchor>
  <xdr:twoCellAnchor>
    <xdr:from>
      <xdr:col>7</xdr:col>
      <xdr:colOff>603250</xdr:colOff>
      <xdr:row>2</xdr:row>
      <xdr:rowOff>12700</xdr:rowOff>
    </xdr:from>
    <xdr:to>
      <xdr:col>11</xdr:col>
      <xdr:colOff>0</xdr:colOff>
      <xdr:row>7</xdr:row>
      <xdr:rowOff>152400</xdr:rowOff>
    </xdr:to>
    <xdr:sp macro="" textlink="Data!M11">
      <xdr:nvSpPr>
        <xdr:cNvPr id="7" name="Rectangle: Rounded Corners 6">
          <a:extLst>
            <a:ext uri="{FF2B5EF4-FFF2-40B4-BE49-F238E27FC236}">
              <a16:creationId xmlns:a16="http://schemas.microsoft.com/office/drawing/2014/main" id="{2A64E517-E34F-47D4-95AA-D41C795A0048}"/>
            </a:ext>
          </a:extLst>
        </xdr:cNvPr>
        <xdr:cNvSpPr/>
      </xdr:nvSpPr>
      <xdr:spPr>
        <a:xfrm>
          <a:off x="4870450" y="1289050"/>
          <a:ext cx="1835150" cy="1060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Growth </a:t>
          </a:r>
        </a:p>
        <a:p>
          <a:pPr algn="ctr"/>
          <a:fld id="{92A1151C-EBCB-4D63-BFF0-57C45B487EA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7.83%</a:t>
          </a:fld>
          <a:endParaRPr lang="en-IN" sz="1600" b="1"/>
        </a:p>
      </xdr:txBody>
    </xdr:sp>
    <xdr:clientData/>
  </xdr:twoCellAnchor>
  <xdr:twoCellAnchor>
    <xdr:from>
      <xdr:col>11</xdr:col>
      <xdr:colOff>482600</xdr:colOff>
      <xdr:row>2</xdr:row>
      <xdr:rowOff>57150</xdr:rowOff>
    </xdr:from>
    <xdr:to>
      <xdr:col>14</xdr:col>
      <xdr:colOff>488950</xdr:colOff>
      <xdr:row>8</xdr:row>
      <xdr:rowOff>12700</xdr:rowOff>
    </xdr:to>
    <xdr:sp macro="" textlink="Data!I11">
      <xdr:nvSpPr>
        <xdr:cNvPr id="8" name="Rectangle: Rounded Corners 7">
          <a:extLst>
            <a:ext uri="{FF2B5EF4-FFF2-40B4-BE49-F238E27FC236}">
              <a16:creationId xmlns:a16="http://schemas.microsoft.com/office/drawing/2014/main" id="{CDD8B2E8-FAF7-4493-AC01-2523B8426865}"/>
            </a:ext>
          </a:extLst>
        </xdr:cNvPr>
        <xdr:cNvSpPr/>
      </xdr:nvSpPr>
      <xdr:spPr>
        <a:xfrm>
          <a:off x="7188200" y="1333500"/>
          <a:ext cx="1835150" cy="1060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ROA</a:t>
          </a:r>
        </a:p>
        <a:p>
          <a:pPr algn="ctr"/>
          <a:fld id="{3B7F78C1-D119-41E2-8210-986127DE5D71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6.25%</a:t>
          </a:fld>
          <a:endParaRPr lang="en-IN" sz="1600" b="1"/>
        </a:p>
      </xdr:txBody>
    </xdr:sp>
    <xdr:clientData/>
  </xdr:twoCellAnchor>
  <xdr:twoCellAnchor>
    <xdr:from>
      <xdr:col>11</xdr:col>
      <xdr:colOff>501650</xdr:colOff>
      <xdr:row>10</xdr:row>
      <xdr:rowOff>19050</xdr:rowOff>
    </xdr:from>
    <xdr:to>
      <xdr:col>14</xdr:col>
      <xdr:colOff>508000</xdr:colOff>
      <xdr:row>15</xdr:row>
      <xdr:rowOff>158750</xdr:rowOff>
    </xdr:to>
    <xdr:sp macro="" textlink="Data!J11">
      <xdr:nvSpPr>
        <xdr:cNvPr id="9" name="Rectangle: Rounded Corners 8">
          <a:extLst>
            <a:ext uri="{FF2B5EF4-FFF2-40B4-BE49-F238E27FC236}">
              <a16:creationId xmlns:a16="http://schemas.microsoft.com/office/drawing/2014/main" id="{9570CB61-F652-4FB7-B084-99DDD1EAAB7B}"/>
            </a:ext>
          </a:extLst>
        </xdr:cNvPr>
        <xdr:cNvSpPr/>
      </xdr:nvSpPr>
      <xdr:spPr>
        <a:xfrm>
          <a:off x="7207250" y="2768600"/>
          <a:ext cx="1835150" cy="10604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Current Ratio</a:t>
          </a:r>
        </a:p>
        <a:p>
          <a:pPr algn="ctr"/>
          <a:fld id="{1E054F48-22F1-4F9E-AE29-AC69F5CD94F6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1.06</a:t>
          </a:fld>
          <a:endParaRPr lang="en-IN" sz="1600" b="1"/>
        </a:p>
      </xdr:txBody>
    </xdr:sp>
    <xdr:clientData/>
  </xdr:twoCellAnchor>
  <xdr:twoCellAnchor>
    <xdr:from>
      <xdr:col>0</xdr:col>
      <xdr:colOff>72737</xdr:colOff>
      <xdr:row>8</xdr:row>
      <xdr:rowOff>60036</xdr:rowOff>
    </xdr:from>
    <xdr:to>
      <xdr:col>11</xdr:col>
      <xdr:colOff>334819</xdr:colOff>
      <xdr:row>22</xdr:row>
      <xdr:rowOff>40409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A3E6E0-C369-4B44-987B-4180D5E12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421409</xdr:colOff>
      <xdr:row>22</xdr:row>
      <xdr:rowOff>121226</xdr:rowOff>
    </xdr:from>
    <xdr:to>
      <xdr:col>15</xdr:col>
      <xdr:colOff>152400</xdr:colOff>
      <xdr:row>37</xdr:row>
      <xdr:rowOff>23090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9D6788-352B-433B-8ADE-2CBCCC4DF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45604</xdr:colOff>
      <xdr:row>22</xdr:row>
      <xdr:rowOff>89477</xdr:rowOff>
    </xdr:from>
    <xdr:to>
      <xdr:col>7</xdr:col>
      <xdr:colOff>350404</xdr:colOff>
      <xdr:row>37</xdr:row>
      <xdr:rowOff>70427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5BCAD6-B8CE-4A3B-8358-F3FCF5F1A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602096</xdr:colOff>
      <xdr:row>2</xdr:row>
      <xdr:rowOff>34060</xdr:rowOff>
    </xdr:from>
    <xdr:to>
      <xdr:col>6</xdr:col>
      <xdr:colOff>608445</xdr:colOff>
      <xdr:row>7</xdr:row>
      <xdr:rowOff>174337</xdr:rowOff>
    </xdr:to>
    <xdr:sp macro="" textlink="Data!C11">
      <xdr:nvSpPr>
        <xdr:cNvPr id="13" name="Rectangle: Rounded Corners 12">
          <a:extLst>
            <a:ext uri="{FF2B5EF4-FFF2-40B4-BE49-F238E27FC236}">
              <a16:creationId xmlns:a16="http://schemas.microsoft.com/office/drawing/2014/main" id="{1BA9BF73-F250-40DF-8AAD-063F961FACDB}"/>
            </a:ext>
          </a:extLst>
        </xdr:cNvPr>
        <xdr:cNvSpPr/>
      </xdr:nvSpPr>
      <xdr:spPr>
        <a:xfrm>
          <a:off x="2430896" y="1310410"/>
          <a:ext cx="1835149" cy="106102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Net Income</a:t>
          </a:r>
        </a:p>
        <a:p>
          <a:pPr algn="ctr"/>
          <a:fld id="{4D061777-75E6-427B-B05C-56F8275C1CD7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35</a:t>
          </a:fld>
          <a:endParaRPr lang="en-IN" sz="16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408214</xdr:colOff>
      <xdr:row>1</xdr:row>
      <xdr:rowOff>78784</xdr:rowOff>
    </xdr:to>
    <xdr:pic>
      <xdr:nvPicPr>
        <xdr:cNvPr id="16" name="Picture 15" descr="Amazon Logo Png Stock Illustrations – 216 Amazon Logo Png ...">
          <a:extLst>
            <a:ext uri="{FF2B5EF4-FFF2-40B4-BE49-F238E27FC236}">
              <a16:creationId xmlns:a16="http://schemas.microsoft.com/office/drawing/2014/main" id="{16A6C1AE-49C1-B78A-83FB-57E412494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6000" cy="1194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C6E80-A894-497F-88FE-CD31C0B5BF9F}" name="Table1" displayName="Table1" ref="A1:M11" totalsRowShown="0" headerRowDxfId="14" dataDxfId="13">
  <autoFilter ref="A1:M11" xr:uid="{B47C6E80-A894-497F-88FE-CD31C0B5BF9F}"/>
  <tableColumns count="13">
    <tableColumn id="1" xr3:uid="{C04FAEBF-C5ED-4D50-98A8-B41154F415A8}" name="Year" dataDxfId="12"/>
    <tableColumn id="2" xr3:uid="{9B1BAB9D-2690-4166-90CE-834F71C498E7}" name="Revenue ($B)" dataDxfId="11"/>
    <tableColumn id="3" xr3:uid="{3F0C88AE-EF74-4DFB-A0AE-BA2A3C34F757}" name="Net Income ($B)" dataDxfId="10"/>
    <tableColumn id="4" xr3:uid="{EDF12E66-1E99-4871-82AF-8B4B7263E713}" name="Total Assets ($B)" dataDxfId="9"/>
    <tableColumn id="5" xr3:uid="{B13A250E-BA2C-4EE6-BE8E-F946EAE125B9}" name="Total Liabilities ($B)" dataDxfId="8"/>
    <tableColumn id="6" xr3:uid="{5DBCFB0F-0185-45C5-ADFA-54C14D975D17}" name="Current Assets ($B)" dataDxfId="7"/>
    <tableColumn id="7" xr3:uid="{D15E7FE8-2EB0-4D07-8218-DACACE5888BB}" name="Current Liabilities ($B)" dataDxfId="6"/>
    <tableColumn id="8" xr3:uid="{DAE74ADB-716C-4D21-8BB6-22B3EB4A7935}" name="Shareholder Equity ($B)" dataDxfId="5"/>
    <tableColumn id="9" xr3:uid="{6FBA876D-FC0A-4CAC-AF7A-060D26D09F6E}" name="ROA" dataDxfId="4" dataCellStyle="Percent">
      <calculatedColumnFormula>C2/D2</calculatedColumnFormula>
    </tableColumn>
    <tableColumn id="10" xr3:uid="{642011ED-1E5A-4B09-A1D2-17E8079F0A0D}" name="Current Ratio" dataDxfId="3">
      <calculatedColumnFormula>F2/G2</calculatedColumnFormula>
    </tableColumn>
    <tableColumn id="11" xr3:uid="{D14B773D-5773-4FBA-B91E-B49AD780C925}" name="Debt to Equity" dataDxfId="2">
      <calculatedColumnFormula>E2/H2</calculatedColumnFormula>
    </tableColumn>
    <tableColumn id="12" xr3:uid="{AED3F244-E134-4C34-A1A3-12F253498BFF}" name="Asset Turnover" dataDxfId="1">
      <calculatedColumnFormula>B2/D2</calculatedColumnFormula>
    </tableColumn>
    <tableColumn id="13" xr3:uid="{DAF7E0C7-719F-4EFC-B4AA-7378B1FF958C}" name="Revenue Growth " dataDxfId="0">
      <calculatedColumnFormula>(B2-B1)/B1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0AD8-AED7-42EB-AECC-666AC2444C48}">
  <dimension ref="A1:M11"/>
  <sheetViews>
    <sheetView zoomScale="80" zoomScaleNormal="80" workbookViewId="0">
      <selection activeCell="M13" sqref="M13"/>
    </sheetView>
  </sheetViews>
  <sheetFormatPr defaultRowHeight="14.5" x14ac:dyDescent="0.35"/>
  <cols>
    <col min="1" max="1" width="9.08984375" bestFit="1" customWidth="1"/>
    <col min="2" max="2" width="17.7265625" bestFit="1" customWidth="1"/>
    <col min="3" max="3" width="18.7265625" bestFit="1" customWidth="1"/>
    <col min="4" max="4" width="19.08984375" bestFit="1" customWidth="1"/>
    <col min="5" max="5" width="22" bestFit="1" customWidth="1"/>
    <col min="6" max="6" width="21.36328125" bestFit="1" customWidth="1"/>
    <col min="7" max="7" width="24.26953125" bestFit="1" customWidth="1"/>
    <col min="8" max="8" width="25.08984375" bestFit="1" customWidth="1"/>
    <col min="9" max="9" width="8.90625" bestFit="1" customWidth="1"/>
    <col min="10" max="10" width="20.6328125" bestFit="1" customWidth="1"/>
    <col min="11" max="11" width="21.36328125" bestFit="1" customWidth="1"/>
    <col min="12" max="12" width="22" bestFit="1" customWidth="1"/>
    <col min="13" max="13" width="21.54296875" bestFit="1" customWidth="1"/>
  </cols>
  <sheetData>
    <row r="1" spans="1:13" ht="4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4" t="s">
        <v>12</v>
      </c>
    </row>
    <row r="2" spans="1:13" x14ac:dyDescent="0.35">
      <c r="A2" s="1">
        <v>2015</v>
      </c>
      <c r="B2" s="1">
        <v>107</v>
      </c>
      <c r="C2" s="1">
        <v>0.6</v>
      </c>
      <c r="D2" s="1">
        <v>65</v>
      </c>
      <c r="E2" s="1">
        <v>52</v>
      </c>
      <c r="F2" s="1">
        <v>38</v>
      </c>
      <c r="G2" s="1">
        <v>33</v>
      </c>
      <c r="H2" s="1">
        <v>13</v>
      </c>
      <c r="I2" s="11">
        <f>C2/D2</f>
        <v>9.2307692307692299E-3</v>
      </c>
      <c r="J2" s="12">
        <f>F2/G2</f>
        <v>1.1515151515151516</v>
      </c>
      <c r="K2" s="7">
        <f>E2/H2</f>
        <v>4</v>
      </c>
      <c r="L2" s="6">
        <f>B2/D2</f>
        <v>1.6461538461538461</v>
      </c>
      <c r="M2" s="8" t="s">
        <v>13</v>
      </c>
    </row>
    <row r="3" spans="1:13" x14ac:dyDescent="0.35">
      <c r="A3" s="1">
        <v>2016</v>
      </c>
      <c r="B3" s="1">
        <v>136</v>
      </c>
      <c r="C3" s="1">
        <v>2.4</v>
      </c>
      <c r="D3" s="1">
        <v>83</v>
      </c>
      <c r="E3" s="1">
        <v>69</v>
      </c>
      <c r="F3" s="1">
        <v>45</v>
      </c>
      <c r="G3" s="1">
        <v>43</v>
      </c>
      <c r="H3" s="1">
        <v>14</v>
      </c>
      <c r="I3" s="11">
        <f t="shared" ref="I3:I11" si="0">C3/D3</f>
        <v>2.8915662650602407E-2</v>
      </c>
      <c r="J3" s="12">
        <f t="shared" ref="J3:J11" si="1">F3/G3</f>
        <v>1.0465116279069768</v>
      </c>
      <c r="K3" s="6">
        <f t="shared" ref="K3:K11" si="2">E3/H3</f>
        <v>4.9285714285714288</v>
      </c>
      <c r="L3" s="6">
        <f t="shared" ref="L3:L11" si="3">B3/D3</f>
        <v>1.6385542168674698</v>
      </c>
      <c r="M3" s="8">
        <f>(B3-B2)/B2</f>
        <v>0.27102803738317754</v>
      </c>
    </row>
    <row r="4" spans="1:13" x14ac:dyDescent="0.35">
      <c r="A4" s="1">
        <v>2017</v>
      </c>
      <c r="B4" s="1">
        <v>178</v>
      </c>
      <c r="C4" s="1">
        <v>3</v>
      </c>
      <c r="D4" s="1">
        <v>131</v>
      </c>
      <c r="E4" s="1">
        <v>103</v>
      </c>
      <c r="F4" s="1">
        <v>60</v>
      </c>
      <c r="G4" s="1">
        <v>57</v>
      </c>
      <c r="H4" s="1">
        <v>28</v>
      </c>
      <c r="I4" s="11">
        <f t="shared" si="0"/>
        <v>2.2900763358778626E-2</v>
      </c>
      <c r="J4" s="12">
        <f t="shared" si="1"/>
        <v>1.0526315789473684</v>
      </c>
      <c r="K4" s="6">
        <f t="shared" si="2"/>
        <v>3.6785714285714284</v>
      </c>
      <c r="L4" s="6">
        <f t="shared" si="3"/>
        <v>1.3587786259541985</v>
      </c>
      <c r="M4" s="8">
        <f t="shared" ref="M4:M11" si="4">(B4-B3)/B3</f>
        <v>0.30882352941176472</v>
      </c>
    </row>
    <row r="5" spans="1:13" x14ac:dyDescent="0.35">
      <c r="A5" s="1">
        <v>2018</v>
      </c>
      <c r="B5" s="1">
        <v>233</v>
      </c>
      <c r="C5" s="1">
        <v>10.1</v>
      </c>
      <c r="D5" s="1">
        <v>162</v>
      </c>
      <c r="E5" s="1">
        <v>119</v>
      </c>
      <c r="F5" s="1">
        <v>75</v>
      </c>
      <c r="G5" s="1">
        <v>68</v>
      </c>
      <c r="H5" s="1">
        <v>43</v>
      </c>
      <c r="I5" s="11">
        <f t="shared" si="0"/>
        <v>6.2345679012345674E-2</v>
      </c>
      <c r="J5" s="12">
        <f t="shared" si="1"/>
        <v>1.1029411764705883</v>
      </c>
      <c r="K5" s="6">
        <f t="shared" si="2"/>
        <v>2.7674418604651163</v>
      </c>
      <c r="L5" s="6">
        <f t="shared" si="3"/>
        <v>1.4382716049382716</v>
      </c>
      <c r="M5" s="8">
        <f t="shared" si="4"/>
        <v>0.3089887640449438</v>
      </c>
    </row>
    <row r="6" spans="1:13" x14ac:dyDescent="0.35">
      <c r="A6" s="1">
        <v>2019</v>
      </c>
      <c r="B6" s="1">
        <v>280</v>
      </c>
      <c r="C6" s="1">
        <v>11.6</v>
      </c>
      <c r="D6" s="1">
        <v>225</v>
      </c>
      <c r="E6" s="1">
        <v>163</v>
      </c>
      <c r="F6" s="1">
        <v>96</v>
      </c>
      <c r="G6" s="1">
        <v>87</v>
      </c>
      <c r="H6" s="1">
        <v>62</v>
      </c>
      <c r="I6" s="11">
        <f t="shared" si="0"/>
        <v>5.1555555555555556E-2</v>
      </c>
      <c r="J6" s="12">
        <f t="shared" si="1"/>
        <v>1.103448275862069</v>
      </c>
      <c r="K6" s="6">
        <f t="shared" si="2"/>
        <v>2.629032258064516</v>
      </c>
      <c r="L6" s="6">
        <f t="shared" si="3"/>
        <v>1.2444444444444445</v>
      </c>
      <c r="M6" s="8">
        <f t="shared" si="4"/>
        <v>0.20171673819742489</v>
      </c>
    </row>
    <row r="7" spans="1:13" x14ac:dyDescent="0.35">
      <c r="A7" s="1">
        <v>2020</v>
      </c>
      <c r="B7" s="1">
        <v>386</v>
      </c>
      <c r="C7" s="1">
        <v>21.3</v>
      </c>
      <c r="D7" s="1">
        <v>321</v>
      </c>
      <c r="E7" s="1">
        <v>227</v>
      </c>
      <c r="F7" s="1">
        <v>132</v>
      </c>
      <c r="G7" s="1">
        <v>126</v>
      </c>
      <c r="H7" s="1">
        <v>94</v>
      </c>
      <c r="I7" s="11">
        <f t="shared" si="0"/>
        <v>6.6355140186915892E-2</v>
      </c>
      <c r="J7" s="12">
        <f t="shared" si="1"/>
        <v>1.0476190476190477</v>
      </c>
      <c r="K7" s="6">
        <f t="shared" si="2"/>
        <v>2.4148936170212765</v>
      </c>
      <c r="L7" s="6">
        <f t="shared" si="3"/>
        <v>1.2024922118380061</v>
      </c>
      <c r="M7" s="8">
        <f t="shared" si="4"/>
        <v>0.37857142857142856</v>
      </c>
    </row>
    <row r="8" spans="1:13" x14ac:dyDescent="0.35">
      <c r="A8" s="1">
        <v>2021</v>
      </c>
      <c r="B8" s="1">
        <v>469</v>
      </c>
      <c r="C8" s="1">
        <v>33.4</v>
      </c>
      <c r="D8" s="1">
        <v>420</v>
      </c>
      <c r="E8" s="1">
        <v>282</v>
      </c>
      <c r="F8" s="1">
        <v>161</v>
      </c>
      <c r="G8" s="1">
        <v>142</v>
      </c>
      <c r="H8" s="1">
        <v>138</v>
      </c>
      <c r="I8" s="11">
        <f t="shared" si="0"/>
        <v>7.9523809523809524E-2</v>
      </c>
      <c r="J8" s="12">
        <f t="shared" si="1"/>
        <v>1.1338028169014085</v>
      </c>
      <c r="K8" s="6">
        <f t="shared" si="2"/>
        <v>2.0434782608695654</v>
      </c>
      <c r="L8" s="6">
        <f t="shared" si="3"/>
        <v>1.1166666666666667</v>
      </c>
      <c r="M8" s="8">
        <f t="shared" si="4"/>
        <v>0.21502590673575128</v>
      </c>
    </row>
    <row r="9" spans="1:13" x14ac:dyDescent="0.35">
      <c r="A9" s="1">
        <v>2022</v>
      </c>
      <c r="B9" s="1">
        <v>514</v>
      </c>
      <c r="C9" s="1">
        <v>-2.7</v>
      </c>
      <c r="D9" s="1">
        <v>462</v>
      </c>
      <c r="E9" s="1">
        <v>316</v>
      </c>
      <c r="F9" s="1">
        <v>146</v>
      </c>
      <c r="G9" s="1">
        <v>155</v>
      </c>
      <c r="H9" s="1">
        <v>146</v>
      </c>
      <c r="I9" s="11">
        <f t="shared" si="0"/>
        <v>-5.8441558441558444E-3</v>
      </c>
      <c r="J9" s="12">
        <f t="shared" si="1"/>
        <v>0.9419354838709677</v>
      </c>
      <c r="K9" s="6">
        <f t="shared" si="2"/>
        <v>2.1643835616438358</v>
      </c>
      <c r="L9" s="6">
        <f t="shared" si="3"/>
        <v>1.1125541125541125</v>
      </c>
      <c r="M9" s="8">
        <f t="shared" si="4"/>
        <v>9.5948827292110878E-2</v>
      </c>
    </row>
    <row r="10" spans="1:13" x14ac:dyDescent="0.35">
      <c r="A10" s="1">
        <v>2023</v>
      </c>
      <c r="B10" s="1">
        <v>575</v>
      </c>
      <c r="C10" s="1">
        <v>30.4</v>
      </c>
      <c r="D10" s="1">
        <v>527</v>
      </c>
      <c r="E10" s="1">
        <v>356</v>
      </c>
      <c r="F10" s="1">
        <v>172</v>
      </c>
      <c r="G10" s="1">
        <v>164</v>
      </c>
      <c r="H10" s="1">
        <v>171</v>
      </c>
      <c r="I10" s="11">
        <f t="shared" si="0"/>
        <v>5.7685009487666035E-2</v>
      </c>
      <c r="J10" s="12">
        <f t="shared" si="1"/>
        <v>1.0487804878048781</v>
      </c>
      <c r="K10" s="6">
        <f t="shared" si="2"/>
        <v>2.0818713450292399</v>
      </c>
      <c r="L10" s="6">
        <f t="shared" si="3"/>
        <v>1.0910815939278937</v>
      </c>
      <c r="M10" s="8">
        <f t="shared" si="4"/>
        <v>0.11867704280155641</v>
      </c>
    </row>
    <row r="11" spans="1:13" x14ac:dyDescent="0.35">
      <c r="A11" s="1">
        <v>2024</v>
      </c>
      <c r="B11" s="1">
        <v>620</v>
      </c>
      <c r="C11" s="1">
        <v>35</v>
      </c>
      <c r="D11" s="1">
        <v>560</v>
      </c>
      <c r="E11" s="1">
        <v>380</v>
      </c>
      <c r="F11" s="1">
        <v>185</v>
      </c>
      <c r="G11" s="1">
        <v>175</v>
      </c>
      <c r="H11" s="1">
        <v>180</v>
      </c>
      <c r="I11" s="11">
        <f t="shared" si="0"/>
        <v>6.25E-2</v>
      </c>
      <c r="J11" s="12">
        <f t="shared" si="1"/>
        <v>1.0571428571428572</v>
      </c>
      <c r="K11" s="6">
        <f t="shared" si="2"/>
        <v>2.1111111111111112</v>
      </c>
      <c r="L11" s="6">
        <f t="shared" si="3"/>
        <v>1.1071428571428572</v>
      </c>
      <c r="M11" s="8">
        <f t="shared" si="4"/>
        <v>7.8260869565217397E-2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BE00-726C-4DC6-90E2-6D1D61740EA0}">
  <dimension ref="A1:V13"/>
  <sheetViews>
    <sheetView tabSelected="1" zoomScale="70" zoomScaleNormal="70" workbookViewId="0">
      <selection activeCell="Q11" sqref="Q11"/>
    </sheetView>
  </sheetViews>
  <sheetFormatPr defaultRowHeight="14.5" x14ac:dyDescent="0.35"/>
  <cols>
    <col min="1" max="16384" width="8.7265625" style="9"/>
  </cols>
  <sheetData>
    <row r="1" spans="1:22" ht="88" customHeight="1" x14ac:dyDescent="0.35">
      <c r="A1" s="10"/>
      <c r="C1" s="13" t="s">
        <v>14</v>
      </c>
      <c r="D1" s="13"/>
      <c r="E1" s="13"/>
      <c r="F1" s="13"/>
      <c r="G1" s="13"/>
      <c r="H1" s="13"/>
      <c r="I1" s="13"/>
      <c r="J1" s="13"/>
    </row>
    <row r="2" spans="1:22" ht="10" customHeight="1" x14ac:dyDescent="0.35">
      <c r="C2" s="13"/>
      <c r="D2" s="13"/>
      <c r="E2" s="13"/>
      <c r="F2" s="13"/>
      <c r="G2" s="13"/>
      <c r="H2" s="13"/>
      <c r="I2" s="13"/>
      <c r="J2" s="13"/>
    </row>
    <row r="4" spans="1:22" x14ac:dyDescent="0.35">
      <c r="Q4" s="14" t="s">
        <v>15</v>
      </c>
      <c r="R4" s="15"/>
      <c r="S4" s="15"/>
      <c r="T4" s="15"/>
      <c r="U4" s="15"/>
      <c r="V4" s="15"/>
    </row>
    <row r="5" spans="1:22" x14ac:dyDescent="0.35">
      <c r="Q5" s="15"/>
      <c r="R5" s="15"/>
      <c r="S5" s="15"/>
      <c r="T5" s="15"/>
      <c r="U5" s="15"/>
      <c r="V5" s="15"/>
    </row>
    <row r="6" spans="1:22" x14ac:dyDescent="0.35">
      <c r="Q6" s="15"/>
      <c r="R6" s="15"/>
      <c r="S6" s="15"/>
      <c r="T6" s="15"/>
      <c r="U6" s="15"/>
      <c r="V6" s="15"/>
    </row>
    <row r="7" spans="1:22" x14ac:dyDescent="0.35">
      <c r="Q7" s="15"/>
      <c r="R7" s="15"/>
      <c r="S7" s="15"/>
      <c r="T7" s="15"/>
      <c r="U7" s="15"/>
      <c r="V7" s="15"/>
    </row>
    <row r="8" spans="1:22" x14ac:dyDescent="0.35">
      <c r="Q8" s="15"/>
      <c r="R8" s="15"/>
      <c r="S8" s="15"/>
      <c r="T8" s="15"/>
      <c r="U8" s="15"/>
      <c r="V8" s="15"/>
    </row>
    <row r="9" spans="1:22" x14ac:dyDescent="0.35">
      <c r="Q9" s="15"/>
      <c r="R9" s="15"/>
      <c r="S9" s="15"/>
      <c r="T9" s="15"/>
      <c r="U9" s="15"/>
      <c r="V9" s="15"/>
    </row>
    <row r="10" spans="1:22" x14ac:dyDescent="0.35">
      <c r="Q10" s="15"/>
      <c r="R10" s="15"/>
      <c r="S10" s="15"/>
      <c r="T10" s="15"/>
      <c r="U10" s="15"/>
      <c r="V10" s="15"/>
    </row>
    <row r="11" spans="1:22" ht="14.5" customHeight="1" x14ac:dyDescent="0.35">
      <c r="M11" s="10"/>
    </row>
    <row r="12" spans="1:22" ht="14.5" customHeight="1" x14ac:dyDescent="0.35"/>
    <row r="13" spans="1:22" ht="14.5" customHeight="1" x14ac:dyDescent="0.35"/>
  </sheetData>
  <mergeCells count="2">
    <mergeCell ref="C1:J2"/>
    <mergeCell ref="Q4:V10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 Y</dc:creator>
  <cp:lastModifiedBy>J A Y</cp:lastModifiedBy>
  <dcterms:created xsi:type="dcterms:W3CDTF">2026-04-19T20:43:22Z</dcterms:created>
  <dcterms:modified xsi:type="dcterms:W3CDTF">2026-04-19T23:04:13Z</dcterms:modified>
</cp:coreProperties>
</file>